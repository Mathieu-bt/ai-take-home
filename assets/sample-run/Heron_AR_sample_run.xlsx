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265" windowWidth="29040" windowHeight="16440" tabRatio="600" firstSheet="0" activeTab="0" autoFilterDateGrouping="1"/>
  </bookViews>
  <sheets>
    <sheet xmlns:r="http://schemas.openxmlformats.org/officeDocument/2006/relationships" name="Layout" sheetId="1" state="visible" r:id="rId1"/>
  </sheets>
  <definedNames>
    <definedName name="ACCOUNTS">#REF!</definedName>
    <definedName name="DATES">#REF!</definedName>
    <definedName name="UBW">#REF!</definedName>
    <definedName name="VERSION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/d;@"/>
    <numFmt numFmtId="165" formatCode="_ * #,##0.00_ ;_ * \-#,##0.00_ ;_ * &quot;-&quot;??_ ;_ @_ "/>
  </numFmts>
  <fonts count="14">
    <font>
      <name val="Aptos Narrow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4" tint="-0.499984740745262"/>
      <sz val="14"/>
    </font>
    <font>
      <name val="Arial"/>
      <family val="2"/>
      <color theme="0"/>
      <sz val="10"/>
    </font>
    <font>
      <name val="Arial"/>
      <family val="2"/>
      <color theme="0"/>
      <sz val="8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family val="2"/>
      <b val="1"/>
      <color theme="4" tint="-0.499984740745262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8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00ADDF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FFFFFF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8">
    <xf numFmtId="0" fontId="0" fillId="0" borderId="4"/>
    <xf numFmtId="0" fontId="1" fillId="0" borderId="4"/>
    <xf numFmtId="165" fontId="1" fillId="0" borderId="4"/>
    <xf numFmtId="4" fontId="12" fillId="0" borderId="4" applyAlignment="1">
      <alignment horizontal="center" wrapText="1"/>
    </xf>
    <xf numFmtId="0" fontId="12" fillId="0" borderId="4" applyAlignment="1">
      <alignment horizontal="left" wrapText="1"/>
    </xf>
    <xf numFmtId="0" fontId="12" fillId="0" borderId="4" applyAlignment="1">
      <alignment horizontal="center" wrapText="1"/>
    </xf>
    <xf numFmtId="0" fontId="1" fillId="0" borderId="4"/>
    <xf numFmtId="0" fontId="6" fillId="0" borderId="4"/>
  </cellStyleXfs>
  <cellXfs count="43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0" fontId="6" fillId="2" borderId="0" pivotButton="0" quotePrefix="0" xfId="1"/>
    <xf numFmtId="0" fontId="8" fillId="2" borderId="0" applyAlignment="1" pivotButton="0" quotePrefix="0" xfId="1">
      <alignment horizontal="right"/>
    </xf>
    <xf numFmtId="49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left" vertical="center" indent="1"/>
    </xf>
    <xf numFmtId="165" fontId="7" fillId="0" borderId="0" applyAlignment="1" pivotButton="0" quotePrefix="0" xfId="2">
      <alignment vertical="center"/>
    </xf>
    <xf numFmtId="0" fontId="3" fillId="0" borderId="0" pivotButton="0" quotePrefix="0" xfId="1"/>
    <xf numFmtId="0" fontId="12" fillId="0" borderId="4" applyAlignment="1" pivotButton="0" quotePrefix="0" xfId="5">
      <alignment horizontal="center" wrapText="1"/>
    </xf>
    <xf numFmtId="0" fontId="12" fillId="0" borderId="4" applyAlignment="1" pivotButton="0" quotePrefix="0" xfId="4">
      <alignment horizontal="left" wrapText="1"/>
    </xf>
    <xf numFmtId="4" fontId="12" fillId="0" borderId="4" applyAlignment="1" pivotButton="0" quotePrefix="0" xfId="3">
      <alignment horizontal="center" wrapText="1"/>
    </xf>
    <xf numFmtId="0" fontId="5" fillId="0" borderId="0" pivotButton="0" quotePrefix="0" xfId="1"/>
    <xf numFmtId="0" fontId="6" fillId="0" borderId="0" pivotButton="0" quotePrefix="0" xfId="1"/>
    <xf numFmtId="0" fontId="8" fillId="0" borderId="0" pivotButton="0" quotePrefix="0" xfId="1"/>
    <xf numFmtId="0" fontId="2" fillId="0" borderId="0" applyAlignment="1" pivotButton="0" quotePrefix="0" xfId="1">
      <alignment horizontal="left" vertical="center" indent="1"/>
    </xf>
    <xf numFmtId="49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165" fontId="3" fillId="0" borderId="0" applyAlignment="1" pivotButton="0" quotePrefix="0" xfId="2">
      <alignment vertical="center"/>
    </xf>
    <xf numFmtId="164" fontId="4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49" fontId="9" fillId="3" borderId="1" applyAlignment="1" pivotButton="0" quotePrefix="0" xfId="1">
      <alignment vertical="center"/>
    </xf>
    <xf numFmtId="0" fontId="9" fillId="3" borderId="1" applyAlignment="1" pivotButton="0" quotePrefix="0" xfId="1">
      <alignment vertical="center"/>
    </xf>
    <xf numFmtId="165" fontId="9" fillId="3" borderId="1" applyAlignment="1" pivotButton="0" quotePrefix="0" xfId="2">
      <alignment vertical="center"/>
    </xf>
    <xf numFmtId="0" fontId="9" fillId="3" borderId="2" applyAlignment="1" pivotButton="0" quotePrefix="0" xfId="1">
      <alignment vertical="center"/>
    </xf>
    <xf numFmtId="0" fontId="11" fillId="3" borderId="3" applyAlignment="1" pivotButton="0" quotePrefix="0" xfId="0">
      <alignment horizontal="left" vertical="center"/>
    </xf>
    <xf numFmtId="0" fontId="7" fillId="0" borderId="4" applyAlignment="1" pivotButton="0" quotePrefix="0" xfId="1">
      <alignment horizontal="left" vertical="center" indent="1"/>
    </xf>
    <xf numFmtId="49" fontId="7" fillId="0" borderId="4" applyAlignment="1" pivotButton="0" quotePrefix="0" xfId="1">
      <alignment horizontal="left" vertical="center"/>
    </xf>
    <xf numFmtId="0" fontId="7" fillId="0" borderId="4" applyAlignment="1" pivotButton="0" quotePrefix="0" xfId="1">
      <alignment vertical="center"/>
    </xf>
    <xf numFmtId="165" fontId="7" fillId="0" borderId="4" applyAlignment="1" pivotButton="0" quotePrefix="0" xfId="2">
      <alignment vertical="center"/>
    </xf>
    <xf numFmtId="164" fontId="7" fillId="0" borderId="4" applyAlignment="1" pivotButton="0" quotePrefix="0" xfId="1">
      <alignment vertical="center"/>
    </xf>
    <xf numFmtId="0" fontId="10" fillId="0" borderId="4" applyAlignment="1" pivotButton="0" quotePrefix="0" xfId="1">
      <alignment horizontal="left" vertical="center" indent="1"/>
    </xf>
    <xf numFmtId="0" fontId="13" fillId="0" borderId="0" applyAlignment="1" pivotButton="0" quotePrefix="0" xfId="0">
      <alignment wrapText="1"/>
    </xf>
    <xf numFmtId="165" fontId="7" fillId="0" borderId="0" applyAlignment="1" pivotButton="0" quotePrefix="0" xfId="2">
      <alignment vertical="center"/>
    </xf>
    <xf numFmtId="164" fontId="7" fillId="0" borderId="0" applyAlignment="1" pivotButton="0" quotePrefix="0" xfId="1">
      <alignment vertical="center"/>
    </xf>
    <xf numFmtId="165" fontId="7" fillId="0" borderId="4" applyAlignment="1" pivotButton="0" quotePrefix="0" xfId="2">
      <alignment vertical="center"/>
    </xf>
    <xf numFmtId="164" fontId="7" fillId="0" borderId="4" applyAlignment="1" pivotButton="0" quotePrefix="0" xfId="1">
      <alignment vertical="center"/>
    </xf>
    <xf numFmtId="165" fontId="3" fillId="0" borderId="0" applyAlignment="1" pivotButton="0" quotePrefix="0" xfId="2">
      <alignment vertical="center"/>
    </xf>
    <xf numFmtId="164" fontId="4" fillId="0" borderId="0" applyAlignment="1" pivotButton="0" quotePrefix="0" xfId="1">
      <alignment vertical="center"/>
    </xf>
    <xf numFmtId="165" fontId="9" fillId="3" borderId="1" applyAlignment="1" pivotButton="0" quotePrefix="0" xfId="2">
      <alignment vertical="center"/>
    </xf>
    <xf numFmtId="0" fontId="12" fillId="0" borderId="4" pivotButton="0" quotePrefix="0" xfId="1"/>
    <xf numFmtId="0" fontId="0" fillId="0" borderId="4" pivotButton="0" quotePrefix="0" xfId="0"/>
  </cellXfs>
  <cellStyles count="8">
    <cellStyle name="Normal" xfId="0" builtinId="0"/>
    <cellStyle name="Normal 2" xfId="1"/>
    <cellStyle name="Comma 2" xfId="2"/>
    <cellStyle name="currency_style" xfId="3"/>
    <cellStyle name="text_style" xfId="4"/>
    <cellStyle name="number_style" xfId="5"/>
    <cellStyle name="Normal 2 2" xfId="6"/>
    <cellStyle name="Normal 3" xfId="7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1828800</colOff>
      <row>7</row>
      <rowOff>113278</rowOff>
    </to>
    <pic>
      <nvPicPr>
        <cNvPr id="2" name="Picture 1" descr="Page ico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828800" cy="18036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tabSelected="1" zoomScale="78" zoomScaleNormal="70" workbookViewId="0">
      <selection activeCell="A15" sqref="A15:XFD20"/>
    </sheetView>
  </sheetViews>
  <sheetFormatPr baseColWidth="8" defaultColWidth="11.33203125" defaultRowHeight="19.95" customHeight="1"/>
  <cols>
    <col width="43" bestFit="1" customWidth="1" style="6" min="1" max="1"/>
    <col width="14.109375" bestFit="1" customWidth="1" style="5" min="2" max="2"/>
    <col width="17.77734375" bestFit="1" customWidth="1" style="6" min="3" max="3"/>
    <col width="12.88671875" bestFit="1" customWidth="1" style="1" min="4" max="4"/>
    <col width="19" bestFit="1" customWidth="1" style="1" min="5" max="5"/>
    <col width="14.88671875" bestFit="1" customWidth="1" style="6" min="6" max="6"/>
    <col width="29.88671875" bestFit="1" customWidth="1" style="6" min="7" max="7"/>
    <col width="9.33203125" bestFit="1" customWidth="1" style="5" min="8" max="8"/>
    <col width="20" bestFit="1" customWidth="1" style="1" min="9" max="9"/>
    <col width="18.33203125" bestFit="1" customWidth="1" style="1" min="10" max="10"/>
    <col width="41.77734375" bestFit="1" customWidth="1" style="1" min="11" max="11"/>
    <col width="13.5546875" bestFit="1" customWidth="1" style="1" min="12" max="12"/>
    <col width="17.21875" bestFit="1" customWidth="1" style="1" min="13" max="13"/>
    <col width="11.33203125" bestFit="1" customWidth="1" style="34" min="14" max="14"/>
    <col width="15.5546875" bestFit="1" customWidth="1" style="34" min="15" max="15"/>
    <col width="37.21875" bestFit="1" customWidth="1" style="34" min="16" max="16"/>
    <col width="30.109375" bestFit="1" customWidth="1" style="35" min="17" max="17"/>
    <col width="11.33203125" customWidth="1" style="1" min="18" max="19"/>
    <col width="11.33203125" customWidth="1" style="1" min="20" max="16384"/>
  </cols>
  <sheetData>
    <row r="1" ht="19.95" customFormat="1" customHeight="1" s="29">
      <c r="A1" s="32" t="n"/>
      <c r="B1" s="28" t="n"/>
      <c r="C1" s="27" t="n"/>
      <c r="F1" s="27" t="n"/>
      <c r="G1" s="27" t="n"/>
      <c r="H1" s="28" t="n"/>
      <c r="N1" s="36" t="n"/>
      <c r="O1" s="36" t="n"/>
      <c r="P1" s="36" t="n"/>
      <c r="Q1" s="37" t="n"/>
    </row>
    <row r="2" ht="19.95" customFormat="1" customHeight="1" s="29">
      <c r="A2" s="27" t="n"/>
      <c r="B2" s="28" t="n"/>
      <c r="C2" s="27" t="n"/>
      <c r="F2" s="27" t="n"/>
      <c r="G2" s="27" t="n"/>
      <c r="H2" s="28" t="n"/>
      <c r="N2" s="36" t="n"/>
      <c r="O2" s="36" t="n"/>
      <c r="P2" s="36" t="n"/>
      <c r="Q2" s="37" t="n"/>
    </row>
    <row r="3" ht="19.95" customFormat="1" customHeight="1" s="29">
      <c r="A3" s="27" t="n"/>
      <c r="B3" s="28" t="n"/>
      <c r="C3" s="27" t="n"/>
      <c r="F3" s="27" t="n"/>
      <c r="G3" s="27" t="n"/>
      <c r="H3" s="28" t="n"/>
      <c r="N3" s="36" t="n"/>
      <c r="O3" s="36" t="n"/>
      <c r="P3" s="36" t="n"/>
      <c r="Q3" s="37" t="n"/>
    </row>
    <row r="4" ht="19.95" customFormat="1" customHeight="1" s="29">
      <c r="A4" s="27" t="n"/>
      <c r="B4" s="28" t="n"/>
      <c r="C4" s="27" t="n"/>
      <c r="F4" s="27" t="n"/>
      <c r="G4" s="27" t="n"/>
      <c r="H4" s="28" t="n"/>
      <c r="N4" s="36" t="n"/>
      <c r="O4" s="36" t="n"/>
      <c r="P4" s="36" t="n"/>
      <c r="Q4" s="37" t="n"/>
    </row>
    <row r="5" ht="19.95" customFormat="1" customHeight="1" s="29">
      <c r="A5" s="27" t="n"/>
      <c r="B5" s="28" t="n"/>
      <c r="C5" s="27" t="n"/>
      <c r="F5" s="27" t="n"/>
      <c r="G5" s="27" t="n"/>
      <c r="H5" s="28" t="n"/>
      <c r="N5" s="36" t="n"/>
      <c r="O5" s="36" t="n"/>
      <c r="P5" s="36" t="n"/>
      <c r="Q5" s="37" t="n"/>
    </row>
    <row r="6" ht="19.95" customFormat="1" customHeight="1" s="29">
      <c r="A6" s="27" t="n"/>
      <c r="B6" s="28" t="n"/>
      <c r="C6" s="27" t="n"/>
      <c r="F6" s="27" t="n"/>
      <c r="G6" s="27" t="n"/>
      <c r="H6" s="28" t="n"/>
      <c r="N6" s="36" t="n"/>
      <c r="O6" s="36" t="n"/>
      <c r="P6" s="36" t="n"/>
      <c r="Q6" s="37" t="n"/>
    </row>
    <row r="7" ht="19.95" customFormat="1" customHeight="1" s="29">
      <c r="A7" s="27" t="n"/>
      <c r="B7" s="28" t="n"/>
      <c r="C7" s="27" t="n"/>
      <c r="F7" s="27" t="n"/>
      <c r="G7" s="27" t="n"/>
      <c r="H7" s="28" t="n"/>
      <c r="N7" s="36" t="n"/>
      <c r="O7" s="36" t="n"/>
      <c r="P7" s="36" t="n"/>
      <c r="Q7" s="37" t="n"/>
    </row>
    <row r="8" ht="19.95" customFormat="1" customHeight="1" s="29">
      <c r="A8" s="27" t="n"/>
      <c r="B8" s="28" t="n"/>
      <c r="C8" s="27" t="n"/>
      <c r="F8" s="27" t="n"/>
      <c r="G8" s="27" t="n"/>
      <c r="H8" s="28" t="n"/>
      <c r="N8" s="36" t="n"/>
      <c r="O8" s="36" t="n"/>
      <c r="P8" s="36" t="n"/>
      <c r="Q8" s="37" t="n"/>
    </row>
    <row r="9" ht="19.95" customFormat="1" customHeight="1" s="29">
      <c r="A9" s="33" t="inlineStr">
        <is>
          <t>&gt;&gt;&gt; Heron Data - Case Study</t>
        </is>
      </c>
      <c r="B9" s="28" t="n"/>
      <c r="C9" s="27" t="n"/>
      <c r="F9" s="27" t="n"/>
      <c r="G9" s="27" t="n"/>
      <c r="H9" s="28" t="n"/>
      <c r="N9" s="36" t="n"/>
      <c r="O9" s="36" t="n"/>
      <c r="P9" s="36" t="n"/>
      <c r="Q9" s="37" t="n"/>
    </row>
    <row r="10" ht="19.95" customFormat="1" customHeight="1" s="29">
      <c r="A10" s="27" t="n"/>
      <c r="B10" s="28" t="n"/>
      <c r="C10" s="27" t="n"/>
      <c r="F10" s="27" t="n"/>
      <c r="G10" s="27" t="n"/>
      <c r="H10" s="28" t="n"/>
      <c r="N10" s="36" t="n"/>
      <c r="O10" s="36" t="n"/>
      <c r="P10" s="36" t="n"/>
      <c r="Q10" s="37" t="n"/>
    </row>
    <row r="11" ht="19.95" customFormat="1" customHeight="1" s="29">
      <c r="A11" s="27" t="n"/>
      <c r="B11" s="28" t="n"/>
      <c r="C11" s="27" t="n"/>
      <c r="F11" s="27" t="n"/>
      <c r="G11" s="27" t="n"/>
      <c r="H11" s="28" t="n"/>
      <c r="N11" s="36" t="n"/>
      <c r="O11" s="36" t="n"/>
      <c r="P11" s="36" t="n"/>
      <c r="Q11" s="37" t="n"/>
    </row>
    <row r="12" ht="18" customFormat="1" customHeight="1" s="20">
      <c r="A12" s="15" t="inlineStr">
        <is>
          <t>Posting of Customer Invoices</t>
        </is>
      </c>
      <c r="B12" s="16" t="n"/>
      <c r="C12" s="15" t="n"/>
      <c r="D12" s="17" t="n"/>
      <c r="E12" s="17" t="n"/>
      <c r="F12" s="15" t="n"/>
      <c r="G12" s="15" t="n"/>
      <c r="H12" s="16" t="n"/>
      <c r="I12" s="17" t="n"/>
      <c r="J12" s="17" t="n"/>
      <c r="K12" s="17" t="n"/>
      <c r="L12" s="17" t="n"/>
      <c r="M12" s="17" t="n"/>
      <c r="N12" s="38" t="n"/>
      <c r="O12" s="38" t="n"/>
      <c r="P12" s="38" t="n"/>
      <c r="Q12" s="39" t="n"/>
    </row>
    <row r="13" ht="13.05" customHeight="1">
      <c r="A13" s="3">
        <f>"setdefault batch_id = " &amp; C13</f>
        <v/>
      </c>
      <c r="B13" s="13" t="n"/>
      <c r="C13" s="4">
        <f>YEAR(TODAY()) &amp; MONTH(TODAY()) &amp; DAY(TODAY()) &amp; HOUR(NOW()) &amp; MINUTE(NOW()) &amp; SECOND(NOW())</f>
        <v/>
      </c>
      <c r="D13" s="13" t="n"/>
      <c r="E13" s="14" t="n"/>
      <c r="F13" s="1" t="n"/>
      <c r="G13" s="13" t="n"/>
      <c r="H13" s="13" t="n"/>
      <c r="I13" s="13" t="n"/>
      <c r="J13" s="13" t="n"/>
      <c r="K13" s="14" t="n"/>
      <c r="L13" s="14" t="n"/>
      <c r="M13" s="14" t="n"/>
      <c r="N13" s="13" t="n"/>
      <c r="O13" s="13" t="n"/>
      <c r="P13" s="13" t="n"/>
    </row>
    <row r="14" ht="25.2" customFormat="1" customHeight="1" s="21">
      <c r="A14" s="22" t="inlineStr">
        <is>
          <t>upload</t>
        </is>
      </c>
      <c r="B14" s="23" t="inlineStr">
        <is>
          <t>voucher_no</t>
        </is>
      </c>
      <c r="C14" s="22" t="inlineStr">
        <is>
          <t>GL lookup</t>
        </is>
      </c>
      <c r="D14" s="23" t="inlineStr">
        <is>
          <t>trans_type</t>
        </is>
      </c>
      <c r="E14" s="22" t="inlineStr">
        <is>
          <t>GL account name</t>
        </is>
      </c>
      <c r="F14" s="22" t="inlineStr">
        <is>
          <t>Client_id_lookup</t>
        </is>
      </c>
      <c r="G14" s="22" t="inlineStr">
        <is>
          <t>Client_name</t>
        </is>
      </c>
      <c r="H14" s="22" t="inlineStr">
        <is>
          <t>period</t>
        </is>
      </c>
      <c r="I14" s="23" t="inlineStr">
        <is>
          <t>Dimension_id_lookup</t>
        </is>
      </c>
      <c r="J14" s="23" t="inlineStr">
        <is>
          <t>Dimension_name</t>
        </is>
      </c>
      <c r="K14" s="23" t="inlineStr">
        <is>
          <t>Suppl/cust_name</t>
        </is>
      </c>
      <c r="L14" s="23" t="inlineStr">
        <is>
          <t>inv_ref</t>
        </is>
      </c>
      <c r="M14" s="40" t="inlineStr">
        <is>
          <t>invoice_date</t>
        </is>
      </c>
      <c r="N14" s="23" t="inlineStr">
        <is>
          <t>currency</t>
        </is>
      </c>
      <c r="O14" s="40" t="inlineStr">
        <is>
          <t>cur_amount</t>
        </is>
      </c>
      <c r="P14" s="25" t="inlineStr">
        <is>
          <t>description</t>
        </is>
      </c>
      <c r="Q14" s="26" t="inlineStr">
        <is>
          <t>notes</t>
        </is>
      </c>
    </row>
    <row r="15" ht="19.95" customHeight="1">
      <c r="A15" s="12" t="inlineStr">
        <is>
          <t>yes</t>
        </is>
      </c>
      <c r="B15" s="9" t="n">
        <v>0</v>
      </c>
      <c r="C15" s="9" t="inlineStr">
        <is>
          <t>12000</t>
        </is>
      </c>
      <c r="D15" s="10" t="inlineStr">
        <is>
          <t>AR</t>
        </is>
      </c>
      <c r="E15" s="10" t="inlineStr">
        <is>
          <t>Accounts Receivable</t>
        </is>
      </c>
      <c r="F15" s="9" t="inlineStr">
        <is>
          <t>CL002</t>
        </is>
      </c>
      <c r="G15" s="9" t="inlineStr">
        <is>
          <t>Meridian Trade Finance Pte. Ltd.</t>
        </is>
      </c>
      <c r="H15" s="9" t="inlineStr">
        <is>
          <t>202602</t>
        </is>
      </c>
      <c r="I15" s="9" t="inlineStr"/>
      <c r="J15" s="10" t="inlineStr"/>
      <c r="K15" s="10" t="inlineStr">
        <is>
          <t>Meridian Trade Finance Pte. Ltd.</t>
        </is>
      </c>
      <c r="L15" s="10" t="inlineStr">
        <is>
          <t>HERINV-260202</t>
        </is>
      </c>
      <c r="M15" s="10" t="inlineStr">
        <is>
          <t>20260210</t>
        </is>
      </c>
      <c r="N15" s="10" t="inlineStr">
        <is>
          <t>SGD</t>
        </is>
      </c>
      <c r="O15" s="11" t="n">
        <v>8087.8</v>
      </c>
      <c r="P15" s="10" t="inlineStr">
        <is>
          <t>Meridian Trade Finance Pte. Ltd. AR 202602</t>
        </is>
      </c>
      <c r="Q15" t="inlineStr"/>
    </row>
    <row r="16" ht="19.95" customHeight="1">
      <c r="A16" s="41" t="inlineStr">
        <is>
          <t>yes</t>
        </is>
      </c>
      <c r="B16" s="9" t="n">
        <v>0</v>
      </c>
      <c r="C16" s="9" t="inlineStr">
        <is>
          <t>80004</t>
        </is>
      </c>
      <c r="D16" s="10" t="inlineStr">
        <is>
          <t>GL</t>
        </is>
      </c>
      <c r="E16" s="10" t="inlineStr">
        <is>
          <t>Services performed</t>
        </is>
      </c>
      <c r="F16" s="9" t="inlineStr">
        <is>
          <t>CL002</t>
        </is>
      </c>
      <c r="G16" s="9" t="inlineStr">
        <is>
          <t>Meridian Trade Finance Pte. Ltd.</t>
        </is>
      </c>
      <c r="H16" s="9" t="inlineStr">
        <is>
          <t>202602</t>
        </is>
      </c>
      <c r="I16" s="9" t="inlineStr">
        <is>
          <t>P90001415</t>
        </is>
      </c>
      <c r="J16" s="10" t="inlineStr">
        <is>
          <t>J. Lee</t>
        </is>
      </c>
      <c r="K16" s="10" t="inlineStr">
        <is>
          <t>Meridian Trade Finance Pte. Ltd.</t>
        </is>
      </c>
      <c r="L16" s="10" t="inlineStr">
        <is>
          <t>HERINV-260202</t>
        </is>
      </c>
      <c r="M16" s="10" t="inlineStr">
        <is>
          <t>20260210</t>
        </is>
      </c>
      <c r="N16" s="10" t="inlineStr">
        <is>
          <t>SGD</t>
        </is>
      </c>
      <c r="O16" s="11" t="n">
        <v>-7420</v>
      </c>
      <c r="P16" s="10" t="inlineStr">
        <is>
          <t>Meridian Trade Finance Pte. Ltd. J. Lee 202602</t>
        </is>
      </c>
      <c r="Q16" s="42" t="inlineStr"/>
    </row>
    <row r="17" ht="19.95" customHeight="1">
      <c r="A17" s="41" t="inlineStr">
        <is>
          <t>yes</t>
        </is>
      </c>
      <c r="B17" s="9" t="n">
        <v>0</v>
      </c>
      <c r="C17" s="9" t="inlineStr">
        <is>
          <t>20045</t>
        </is>
      </c>
      <c r="D17" s="10" t="inlineStr">
        <is>
          <t>GL</t>
        </is>
      </c>
      <c r="E17" s="10" t="inlineStr">
        <is>
          <t>VAT/WHT</t>
        </is>
      </c>
      <c r="F17" s="9" t="inlineStr">
        <is>
          <t>CL002</t>
        </is>
      </c>
      <c r="G17" s="9" t="inlineStr">
        <is>
          <t>Meridian Trade Finance Pte. Ltd.</t>
        </is>
      </c>
      <c r="H17" s="9" t="inlineStr">
        <is>
          <t>202602</t>
        </is>
      </c>
      <c r="I17" s="9" t="inlineStr"/>
      <c r="J17" s="10" t="inlineStr"/>
      <c r="K17" s="10" t="inlineStr">
        <is>
          <t>Meridian Trade Finance Pte. Ltd.</t>
        </is>
      </c>
      <c r="L17" s="10" t="inlineStr">
        <is>
          <t>HERINV-260202</t>
        </is>
      </c>
      <c r="M17" s="10" t="inlineStr">
        <is>
          <t>20260210</t>
        </is>
      </c>
      <c r="N17" s="10" t="inlineStr">
        <is>
          <t>SGD</t>
        </is>
      </c>
      <c r="O17" s="11" t="n">
        <v>-667.8</v>
      </c>
      <c r="P17" s="10" t="inlineStr">
        <is>
          <t>Meridian Trade Finance Pte. Ltd. Tax 202602</t>
        </is>
      </c>
      <c r="Q17" s="42" t="inlineStr"/>
    </row>
    <row r="18" ht="19.95" customHeight="1">
      <c r="A18" s="8" t="n"/>
      <c r="B18" s="9" t="n"/>
      <c r="C18" s="9" t="n"/>
      <c r="D18" s="10" t="n"/>
      <c r="E18" s="10" t="n"/>
      <c r="F18" s="9" t="n"/>
      <c r="G18" s="9" t="n"/>
      <c r="H18" s="9" t="n"/>
      <c r="I18" s="9" t="n"/>
      <c r="J18" s="10" t="n"/>
      <c r="K18" s="10" t="n"/>
      <c r="L18" s="10" t="n"/>
      <c r="M18" s="10" t="n"/>
      <c r="N18" s="10" t="n"/>
      <c r="O18" s="11" t="n"/>
      <c r="P18" s="10" t="n"/>
    </row>
    <row r="19" ht="19.95" customHeight="1">
      <c r="A19" s="8" t="n"/>
      <c r="B19" s="9" t="n"/>
      <c r="C19" s="9" t="n"/>
      <c r="D19" s="10" t="n"/>
      <c r="E19" s="10" t="n"/>
      <c r="F19" s="9" t="n"/>
      <c r="G19" s="9" t="n"/>
      <c r="H19" s="9" t="n"/>
      <c r="I19" s="9" t="n"/>
      <c r="J19" s="10" t="n"/>
      <c r="K19" s="10" t="n"/>
      <c r="L19" s="10" t="n"/>
      <c r="M19" s="10" t="n"/>
      <c r="N19" s="10" t="n"/>
      <c r="O19" s="11" t="n"/>
      <c r="P19" s="10" t="n"/>
    </row>
  </sheetData>
  <conditionalFormatting sqref="E15:E19 J15:K19">
    <cfRule type="containsErrors" priority="2" dxfId="0">
      <formula>ISERROR(E15)</formula>
    </cfRule>
  </conditionalFormatting>
  <pageMargins left="0.7" right="0.7" top="0.75" bottom="0.75" header="0.3" footer="0.3"/>
  <pageSetup orientation="portrait" paperSize="9" horizont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Mathieu Bouty</dc:creator>
  <dcterms:created xmlns:dcterms="http://purl.org/dc/terms/" xmlns:xsi="http://www.w3.org/2001/XMLSchema-instance" xsi:type="dcterms:W3CDTF">2025-09-02T16:46:03Z</dcterms:created>
  <dcterms:modified xmlns:dcterms="http://purl.org/dc/terms/" xmlns:xsi="http://www.w3.org/2001/XMLSchema-instance" xsi:type="dcterms:W3CDTF">2026-03-18T03:37:24Z</dcterms:modified>
  <cp:lastModifiedBy>BOUTY Mathieu</cp:lastModifiedBy>
</cp:coreProperties>
</file>